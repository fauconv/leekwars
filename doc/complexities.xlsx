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2410" windowHeight="10350" activeTab="3"/>
  </bookViews>
  <sheets>
    <sheet name="strategie" sheetId="1" r:id="rId1"/>
    <sheet name="comparaison liste" sheetId="2" r:id="rId2"/>
    <sheet name="calcul dmg" sheetId="3" r:id="rId3"/>
    <sheet name="calcul chip" sheetId="4" r:id="rId4"/>
  </sheets>
  <calcPr calcId="125725"/>
</workbook>
</file>

<file path=xl/calcChain.xml><?xml version="1.0" encoding="utf-8"?>
<calcChain xmlns="http://schemas.openxmlformats.org/spreadsheetml/2006/main">
  <c r="P3" i="4"/>
  <c r="P4"/>
  <c r="P5"/>
  <c r="P6"/>
  <c r="P7"/>
  <c r="P8"/>
  <c r="P9"/>
  <c r="P10"/>
  <c r="P11"/>
  <c r="P12"/>
  <c r="P13"/>
  <c r="P14"/>
  <c r="O3"/>
  <c r="O4"/>
  <c r="O5"/>
  <c r="O6"/>
  <c r="O7"/>
  <c r="O8"/>
  <c r="O9"/>
  <c r="O10"/>
  <c r="O11"/>
  <c r="O12"/>
  <c r="O13"/>
  <c r="O14"/>
  <c r="N3"/>
  <c r="N4"/>
  <c r="N5"/>
  <c r="N6"/>
  <c r="N7"/>
  <c r="N8"/>
  <c r="N9"/>
  <c r="N10"/>
  <c r="N11"/>
  <c r="N12"/>
  <c r="N13"/>
  <c r="N14"/>
  <c r="M3"/>
  <c r="M4"/>
  <c r="M5"/>
  <c r="M6"/>
  <c r="M7"/>
  <c r="M8"/>
  <c r="M9"/>
  <c r="M10"/>
  <c r="M11"/>
  <c r="M12"/>
  <c r="M13"/>
  <c r="M14"/>
  <c r="L3"/>
  <c r="L4"/>
  <c r="L5"/>
  <c r="L6"/>
  <c r="L7"/>
  <c r="L8"/>
  <c r="L9"/>
  <c r="L10"/>
  <c r="L11"/>
  <c r="L12"/>
  <c r="L13"/>
  <c r="L14"/>
  <c r="K3"/>
  <c r="K4"/>
  <c r="K5"/>
  <c r="K6"/>
  <c r="K7"/>
  <c r="K8"/>
  <c r="K9"/>
  <c r="K10"/>
  <c r="K11"/>
  <c r="K12"/>
  <c r="K13"/>
  <c r="K14"/>
  <c r="J3"/>
  <c r="J4"/>
  <c r="J5"/>
  <c r="J6"/>
  <c r="J7"/>
  <c r="J8"/>
  <c r="J9"/>
  <c r="J10"/>
  <c r="J11"/>
  <c r="J12"/>
  <c r="J13"/>
  <c r="J14"/>
  <c r="I3"/>
  <c r="I4"/>
  <c r="I5"/>
  <c r="I6"/>
  <c r="I7"/>
  <c r="I8"/>
  <c r="I9"/>
  <c r="I10"/>
  <c r="I11"/>
  <c r="I12"/>
  <c r="I13"/>
  <c r="I14"/>
  <c r="H3"/>
  <c r="H4"/>
  <c r="H5"/>
  <c r="H6"/>
  <c r="H7"/>
  <c r="H8"/>
  <c r="H9"/>
  <c r="H10"/>
  <c r="H11"/>
  <c r="H12"/>
  <c r="H13"/>
  <c r="H14"/>
  <c r="G3"/>
  <c r="G4"/>
  <c r="G5"/>
  <c r="G6"/>
  <c r="G7"/>
  <c r="G8"/>
  <c r="G9"/>
  <c r="G10"/>
  <c r="G11"/>
  <c r="G12"/>
  <c r="G13"/>
  <c r="G14"/>
  <c r="F3"/>
  <c r="F4"/>
  <c r="F5"/>
  <c r="F6"/>
  <c r="F7"/>
  <c r="F8"/>
  <c r="F9"/>
  <c r="F10"/>
  <c r="F11"/>
  <c r="F12"/>
  <c r="F13"/>
  <c r="F14"/>
</calcChain>
</file>

<file path=xl/sharedStrings.xml><?xml version="1.0" encoding="utf-8"?>
<sst xmlns="http://schemas.openxmlformats.org/spreadsheetml/2006/main" count="128" uniqueCount="81">
  <si>
    <t>oui</t>
  </si>
  <si>
    <t>non</t>
  </si>
  <si>
    <t>on peut etre a porter de tire</t>
  </si>
  <si>
    <t>map</t>
  </si>
  <si>
    <t>array</t>
  </si>
  <si>
    <r>
      <t> </t>
    </r>
    <r>
      <rPr>
        <sz val="10"/>
        <rFont val="Arial"/>
        <family val="2"/>
      </rPr>
      <t>EFFECT_DAMAGE</t>
    </r>
    <r>
      <rPr>
        <sz val="10"/>
        <rFont val="Arial"/>
        <family val="2"/>
      </rPr>
      <t/>
    </r>
  </si>
  <si>
    <t>EFFECT_LIFE_DAMAGE</t>
  </si>
  <si>
    <t> EFFECT_POISON</t>
  </si>
  <si>
    <t> EFFECT_NOVA_DAMAGE</t>
  </si>
  <si>
    <t>EFFECT_AFTEREFFECT</t>
  </si>
  <si>
    <t>critique = agility/1000</t>
  </si>
  <si>
    <t>dmg = mid*AOE*(1+0.3*critique)</t>
  </si>
  <si>
    <r>
      <t>dmg1 = (dmg) * (</t>
    </r>
    <r>
      <rPr>
        <sz val="10"/>
        <color rgb="FF007F00"/>
        <rFont val="Arial"/>
        <family val="2"/>
      </rPr>
      <t>1</t>
    </r>
    <r>
      <rPr>
        <sz val="10"/>
        <color rgb="FF252525"/>
        <rFont val="Arial"/>
        <family val="2"/>
      </rPr>
      <t xml:space="preserve"> + Force / </t>
    </r>
    <r>
      <rPr>
        <sz val="10"/>
        <color rgb="FF007F00"/>
        <rFont val="Arial"/>
        <family val="2"/>
      </rPr>
      <t>100</t>
    </r>
    <r>
      <rPr>
        <sz val="10"/>
        <color rgb="FF252525"/>
        <rFont val="Arial"/>
        <family val="2"/>
      </rPr>
      <t>)</t>
    </r>
  </si>
  <si>
    <r>
      <t xml:space="preserve">dmg1 = PV * (dmg / </t>
    </r>
    <r>
      <rPr>
        <sz val="10"/>
        <color rgb="FF007F00"/>
        <rFont val="Arial"/>
        <family val="2"/>
      </rPr>
      <t>100</t>
    </r>
    <r>
      <rPr>
        <sz val="10"/>
        <color rgb="FF252525"/>
        <rFont val="Arial"/>
        <family val="2"/>
      </rPr>
      <t>)</t>
    </r>
  </si>
  <si>
    <t>dmg1 = (dmg) * (1 + Magie / 100)</t>
  </si>
  <si>
    <r>
      <t xml:space="preserve">erosion = </t>
    </r>
    <r>
      <rPr>
        <sz val="10"/>
        <color rgb="FF252525"/>
        <rFont val="Arial"/>
        <family val="2"/>
      </rPr>
      <t>dmg * (</t>
    </r>
    <r>
      <rPr>
        <sz val="10"/>
        <color rgb="FF007F00"/>
        <rFont val="Arial"/>
        <family val="2"/>
      </rPr>
      <t>1</t>
    </r>
    <r>
      <rPr>
        <sz val="10"/>
        <color rgb="FF252525"/>
        <rFont val="Arial"/>
        <family val="2"/>
      </rPr>
      <t xml:space="preserve"> + science / </t>
    </r>
    <r>
      <rPr>
        <sz val="10"/>
        <color rgb="FF007F00"/>
        <rFont val="Arial"/>
        <family val="2"/>
      </rPr>
      <t>100</t>
    </r>
    <r>
      <rPr>
        <sz val="10"/>
        <color rgb="FF252525"/>
        <rFont val="Arial"/>
        <family val="2"/>
      </rPr>
      <t>))</t>
    </r>
  </si>
  <si>
    <t>dmg1 = (dmg) * (1 + Science / 100)</t>
  </si>
  <si>
    <t xml:space="preserve"> Puissance</t>
  </si>
  <si>
    <t>return = dmg1*return*(0.01+agility/10000)</t>
  </si>
  <si>
    <t>dmg2 = dmg1*(1-relatif/100)- absolu</t>
  </si>
  <si>
    <t>vol = dmg2*sagesse/1000</t>
  </si>
  <si>
    <t>erosion =  (0.05+0.1*critique)*dmg2</t>
  </si>
  <si>
    <t>erosion =  (0.05+0.1*critique)*dmg1</t>
  </si>
  <si>
    <t>erosion_atk = (0.05+0.1*critique)*return</t>
  </si>
  <si>
    <t>target_dmg = dmg2</t>
  </si>
  <si>
    <t>target_dmg = dmg1</t>
  </si>
  <si>
    <t>target_erosion = max(life,life_max-erosion)</t>
  </si>
  <si>
    <t>shooter_dmg = max(return-vol,life-maxlife)</t>
  </si>
  <si>
    <t>shooter_erosion= max(life,life-max-erosion_atk)</t>
  </si>
  <si>
    <t>return ?</t>
  </si>
  <si>
    <t>set</t>
  </si>
  <si>
    <t>interval</t>
  </si>
  <si>
    <t>O(n)</t>
  </si>
  <si>
    <t>object</t>
  </si>
  <si>
    <t>chain</t>
  </si>
  <si>
    <t>O(1)</t>
  </si>
  <si>
    <t>getSize</t>
  </si>
  <si>
    <t>type of list</t>
  </si>
  <si>
    <t>named index</t>
  </si>
  <si>
    <t>ordered</t>
  </si>
  <si>
    <t>insert element</t>
  </si>
  <si>
    <t>remove element</t>
  </si>
  <si>
    <t>orderable</t>
  </si>
  <si>
    <t>indexed</t>
  </si>
  <si>
    <t>access</t>
  </si>
  <si>
    <t>add (to the end)</t>
  </si>
  <si>
    <t>add (middle)</t>
  </si>
  <si>
    <t>remove (to the end)</t>
  </si>
  <si>
    <t>remove (middle)</t>
  </si>
  <si>
    <t>change</t>
  </si>
  <si>
    <t>creation (empty)</t>
  </si>
  <si>
    <t>add of n elements</t>
  </si>
  <si>
    <t>pas numerique (*)</t>
  </si>
  <si>
    <t>contenu variable</t>
  </si>
  <si>
    <t>(*) fonctionne avec des numerique mais avec des warning dans l editeur</t>
  </si>
  <si>
    <t>il peut nous tirer dessus</t>
  </si>
  <si>
    <t>on peut l achever au tire direct</t>
  </si>
  <si>
    <t>on peut s evader</t>
  </si>
  <si>
    <t>on fait un tire direct sans chip autre</t>
  </si>
  <si>
    <t>pebble</t>
  </si>
  <si>
    <t>min</t>
  </si>
  <si>
    <t>max</t>
  </si>
  <si>
    <t>nb use</t>
  </si>
  <si>
    <t>tool</t>
  </si>
  <si>
    <t>cost</t>
  </si>
  <si>
    <t>min 12</t>
  </si>
  <si>
    <t>max 12</t>
  </si>
  <si>
    <t>min 10</t>
  </si>
  <si>
    <t>max 10</t>
  </si>
  <si>
    <t xml:space="preserve">min 9 </t>
  </si>
  <si>
    <t xml:space="preserve">max 9 </t>
  </si>
  <si>
    <t>max 7</t>
  </si>
  <si>
    <t>min 7</t>
  </si>
  <si>
    <t>max use</t>
  </si>
  <si>
    <t>min use</t>
  </si>
  <si>
    <t>max cost</t>
  </si>
  <si>
    <t>ice</t>
  </si>
  <si>
    <t>rock</t>
  </si>
  <si>
    <t>spark</t>
  </si>
  <si>
    <t>shotgun</t>
  </si>
  <si>
    <t>magnum</t>
  </si>
</sst>
</file>

<file path=xl/styles.xml><?xml version="1.0" encoding="utf-8"?>
<styleSheet xmlns="http://schemas.openxmlformats.org/spreadsheetml/2006/main">
  <fonts count="8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sz val="10"/>
      <color rgb="FF252525"/>
      <name val="Arial"/>
      <family val="2"/>
    </font>
    <font>
      <sz val="10"/>
      <color rgb="FF007F00"/>
      <name val="Arial"/>
      <family val="2"/>
    </font>
    <font>
      <sz val="10"/>
      <color rgb="FF000000"/>
      <name val="Arial"/>
      <family val="2"/>
    </font>
    <font>
      <b/>
      <sz val="11"/>
      <color theme="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39997558519241921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31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2" borderId="1" xfId="0" applyFill="1" applyBorder="1"/>
    <xf numFmtId="0" fontId="0" fillId="4" borderId="1" xfId="0" applyFill="1" applyBorder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horizontal="center"/>
    </xf>
    <xf numFmtId="0" fontId="0" fillId="5" borderId="0" xfId="0" applyFill="1"/>
    <xf numFmtId="0" fontId="0" fillId="3" borderId="1" xfId="0" applyFill="1" applyBorder="1" applyAlignment="1">
      <alignment horizontal="center" vertical="center"/>
    </xf>
    <xf numFmtId="0" fontId="0" fillId="3" borderId="1" xfId="0" applyFill="1" applyBorder="1"/>
    <xf numFmtId="0" fontId="0" fillId="2" borderId="3" xfId="0" applyFill="1" applyBorder="1"/>
    <xf numFmtId="0" fontId="0" fillId="0" borderId="5" xfId="0" applyBorder="1"/>
    <xf numFmtId="0" fontId="0" fillId="0" borderId="7" xfId="0" applyBorder="1"/>
    <xf numFmtId="0" fontId="0" fillId="0" borderId="7" xfId="0" applyFill="1" applyBorder="1"/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1" fillId="0" borderId="1" xfId="0" applyFont="1" applyBorder="1" applyAlignment="1">
      <alignment horizontal="left" wrapText="1"/>
    </xf>
    <xf numFmtId="0" fontId="4" fillId="0" borderId="1" xfId="0" applyFont="1" applyBorder="1" applyAlignment="1">
      <alignment horizontal="left"/>
    </xf>
    <xf numFmtId="0" fontId="6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 wrapText="1"/>
    </xf>
    <xf numFmtId="0" fontId="1" fillId="0" borderId="2" xfId="0" applyFont="1" applyBorder="1" applyAlignment="1">
      <alignment horizontal="left" wrapText="1"/>
    </xf>
    <xf numFmtId="0" fontId="1" fillId="0" borderId="3" xfId="0" applyFont="1" applyBorder="1" applyAlignment="1">
      <alignment horizontal="left" wrapText="1"/>
    </xf>
    <xf numFmtId="0" fontId="4" fillId="0" borderId="2" xfId="0" applyFont="1" applyBorder="1" applyAlignment="1">
      <alignment horizontal="left"/>
    </xf>
    <xf numFmtId="0" fontId="4" fillId="0" borderId="3" xfId="0" applyFont="1" applyBorder="1" applyAlignment="1">
      <alignment horizontal="left"/>
    </xf>
    <xf numFmtId="0" fontId="3" fillId="0" borderId="2" xfId="0" applyFont="1" applyBorder="1" applyAlignment="1">
      <alignment horizontal="left" wrapText="1"/>
    </xf>
    <xf numFmtId="0" fontId="3" fillId="0" borderId="3" xfId="0" applyFont="1" applyBorder="1" applyAlignment="1">
      <alignment horizontal="left" wrapText="1"/>
    </xf>
    <xf numFmtId="0" fontId="3" fillId="0" borderId="4" xfId="0" applyFont="1" applyBorder="1" applyAlignment="1">
      <alignment horizontal="left" wrapText="1"/>
    </xf>
    <xf numFmtId="0" fontId="3" fillId="0" borderId="5" xfId="0" applyFont="1" applyBorder="1" applyAlignment="1">
      <alignment horizontal="left" wrapText="1"/>
    </xf>
    <xf numFmtId="0" fontId="3" fillId="0" borderId="6" xfId="0" applyFont="1" applyBorder="1" applyAlignment="1">
      <alignment horizontal="left" wrapText="1"/>
    </xf>
    <xf numFmtId="0" fontId="1" fillId="0" borderId="14" xfId="0" applyFont="1" applyBorder="1" applyAlignment="1">
      <alignment horizontal="center" wrapText="1"/>
    </xf>
    <xf numFmtId="0" fontId="2" fillId="0" borderId="15" xfId="0" applyFont="1" applyBorder="1" applyAlignment="1">
      <alignment horizontal="center" wrapText="1"/>
    </xf>
    <xf numFmtId="0" fontId="3" fillId="0" borderId="15" xfId="0" applyFont="1" applyBorder="1" applyAlignment="1">
      <alignment horizontal="center" wrapText="1"/>
    </xf>
    <xf numFmtId="0" fontId="3" fillId="0" borderId="16" xfId="0" applyFont="1" applyBorder="1" applyAlignment="1">
      <alignment horizontal="center" wrapText="1"/>
    </xf>
    <xf numFmtId="0" fontId="3" fillId="0" borderId="11" xfId="0" applyFont="1" applyBorder="1" applyAlignment="1">
      <alignment horizontal="left" wrapText="1"/>
    </xf>
    <xf numFmtId="0" fontId="3" fillId="0" borderId="12" xfId="0" applyFont="1" applyBorder="1" applyAlignment="1">
      <alignment horizontal="left" wrapText="1"/>
    </xf>
    <xf numFmtId="0" fontId="3" fillId="0" borderId="13" xfId="0" applyFont="1" applyBorder="1" applyAlignment="1">
      <alignment horizontal="left" wrapText="1"/>
    </xf>
    <xf numFmtId="0" fontId="0" fillId="0" borderId="21" xfId="0" applyBorder="1"/>
    <xf numFmtId="0" fontId="0" fillId="0" borderId="3" xfId="0" applyBorder="1"/>
    <xf numFmtId="0" fontId="0" fillId="0" borderId="23" xfId="0" applyBorder="1"/>
    <xf numFmtId="0" fontId="0" fillId="6" borderId="1" xfId="0" applyFill="1" applyBorder="1"/>
    <xf numFmtId="0" fontId="0" fillId="0" borderId="24" xfId="0" applyBorder="1"/>
    <xf numFmtId="0" fontId="0" fillId="0" borderId="21" xfId="0" applyBorder="1" applyAlignment="1">
      <alignment vertical="center"/>
    </xf>
    <xf numFmtId="0" fontId="0" fillId="0" borderId="2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2" borderId="1" xfId="0" applyFill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26" xfId="0" applyBorder="1"/>
    <xf numFmtId="0" fontId="0" fillId="0" borderId="27" xfId="0" applyFill="1" applyBorder="1"/>
    <xf numFmtId="0" fontId="0" fillId="0" borderId="28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11" xfId="0" applyBorder="1" applyAlignment="1">
      <alignment horizontal="right"/>
    </xf>
    <xf numFmtId="0" fontId="0" fillId="0" borderId="29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0" xfId="0" applyFill="1" applyBorder="1" applyAlignment="1">
      <alignment vertical="center"/>
    </xf>
    <xf numFmtId="0" fontId="0" fillId="0" borderId="31" xfId="0" applyBorder="1"/>
    <xf numFmtId="0" fontId="0" fillId="2" borderId="31" xfId="0" applyFill="1" applyBorder="1"/>
    <xf numFmtId="0" fontId="0" fillId="2" borderId="11" xfId="0" applyFill="1" applyBorder="1"/>
    <xf numFmtId="0" fontId="0" fillId="0" borderId="12" xfId="0" applyBorder="1"/>
    <xf numFmtId="0" fontId="0" fillId="0" borderId="2" xfId="0" applyBorder="1"/>
    <xf numFmtId="0" fontId="0" fillId="2" borderId="2" xfId="0" applyFill="1" applyBorder="1"/>
    <xf numFmtId="0" fontId="0" fillId="2" borderId="33" xfId="0" applyFill="1" applyBorder="1"/>
    <xf numFmtId="0" fontId="0" fillId="2" borderId="4" xfId="0" applyFill="1" applyBorder="1"/>
    <xf numFmtId="0" fontId="0" fillId="0" borderId="31" xfId="0" applyBorder="1" applyAlignment="1">
      <alignment horizontal="right"/>
    </xf>
    <xf numFmtId="0" fontId="0" fillId="2" borderId="31" xfId="0" applyFill="1" applyBorder="1" applyAlignment="1">
      <alignment horizontal="right"/>
    </xf>
    <xf numFmtId="0" fontId="0" fillId="0" borderId="34" xfId="0" applyBorder="1" applyAlignment="1">
      <alignment horizontal="right"/>
    </xf>
    <xf numFmtId="0" fontId="0" fillId="0" borderId="35" xfId="0" applyBorder="1" applyAlignment="1">
      <alignment vertical="center"/>
    </xf>
    <xf numFmtId="0" fontId="0" fillId="0" borderId="22" xfId="0" applyFill="1" applyBorder="1"/>
    <xf numFmtId="0" fontId="0" fillId="0" borderId="33" xfId="0" applyFill="1" applyBorder="1" applyAlignment="1">
      <alignment horizontal="right"/>
    </xf>
    <xf numFmtId="0" fontId="0" fillId="0" borderId="36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3" xfId="0" applyBorder="1" applyAlignment="1">
      <alignment horizontal="right"/>
    </xf>
    <xf numFmtId="0" fontId="0" fillId="0" borderId="32" xfId="0" applyBorder="1" applyAlignment="1">
      <alignment horizontal="right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6" borderId="29" xfId="0" applyFill="1" applyBorder="1"/>
    <xf numFmtId="0" fontId="0" fillId="0" borderId="28" xfId="0" applyBorder="1"/>
    <xf numFmtId="0" fontId="0" fillId="2" borderId="28" xfId="0" applyFill="1" applyBorder="1"/>
    <xf numFmtId="0" fontId="0" fillId="2" borderId="34" xfId="0" applyFill="1" applyBorder="1"/>
    <xf numFmtId="0" fontId="0" fillId="2" borderId="37" xfId="0" applyFill="1" applyBorder="1"/>
    <xf numFmtId="0" fontId="0" fillId="0" borderId="38" xfId="0" applyBorder="1" applyAlignment="1">
      <alignment vertical="center"/>
    </xf>
    <xf numFmtId="0" fontId="0" fillId="0" borderId="8" xfId="0" applyFill="1" applyBorder="1"/>
    <xf numFmtId="0" fontId="0" fillId="0" borderId="6" xfId="0" applyBorder="1"/>
    <xf numFmtId="0" fontId="0" fillId="5" borderId="28" xfId="0" applyFill="1" applyBorder="1" applyAlignment="1">
      <alignment horizontal="center" vertical="center"/>
    </xf>
    <xf numFmtId="0" fontId="0" fillId="2" borderId="1" xfId="0" applyFill="1" applyBorder="1" applyAlignment="1">
      <alignment wrapText="1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5" xfId="0" applyBorder="1"/>
    <xf numFmtId="0" fontId="0" fillId="6" borderId="13" xfId="0" applyFill="1" applyBorder="1"/>
    <xf numFmtId="0" fontId="0" fillId="6" borderId="3" xfId="0" applyFill="1" applyBorder="1"/>
    <xf numFmtId="0" fontId="0" fillId="0" borderId="1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39" xfId="0" applyBorder="1"/>
    <xf numFmtId="0" fontId="0" fillId="0" borderId="25" xfId="0" applyBorder="1"/>
    <xf numFmtId="0" fontId="1" fillId="0" borderId="9" xfId="0" applyFont="1" applyBorder="1" applyAlignment="1">
      <alignment horizontal="center" wrapText="1"/>
    </xf>
    <xf numFmtId="0" fontId="1" fillId="0" borderId="17" xfId="0" applyFont="1" applyBorder="1" applyAlignment="1">
      <alignment horizontal="center" wrapText="1"/>
    </xf>
    <xf numFmtId="0" fontId="1" fillId="0" borderId="18" xfId="0" applyFont="1" applyBorder="1" applyAlignment="1">
      <alignment horizontal="center" wrapText="1"/>
    </xf>
    <xf numFmtId="0" fontId="1" fillId="0" borderId="10" xfId="0" applyFont="1" applyBorder="1" applyAlignment="1">
      <alignment horizontal="center" wrapText="1"/>
    </xf>
    <xf numFmtId="0" fontId="1" fillId="0" borderId="19" xfId="0" applyFont="1" applyBorder="1" applyAlignment="1">
      <alignment horizontal="center" wrapText="1"/>
    </xf>
    <xf numFmtId="0" fontId="1" fillId="0" borderId="20" xfId="0" applyFont="1" applyBorder="1" applyAlignment="1">
      <alignment horizontal="center" wrapText="1"/>
    </xf>
    <xf numFmtId="0" fontId="0" fillId="0" borderId="1" xfId="0" applyBorder="1"/>
    <xf numFmtId="0" fontId="7" fillId="7" borderId="1" xfId="0" applyFont="1" applyFill="1" applyBorder="1" applyAlignment="1">
      <alignment horizontal="center"/>
    </xf>
    <xf numFmtId="0" fontId="0" fillId="0" borderId="1" xfId="0" applyNumberFormat="1" applyBorder="1"/>
    <xf numFmtId="0" fontId="0" fillId="0" borderId="42" xfId="0" applyBorder="1"/>
    <xf numFmtId="0" fontId="0" fillId="0" borderId="41" xfId="0" applyBorder="1"/>
    <xf numFmtId="0" fontId="0" fillId="0" borderId="40" xfId="0" applyBorder="1"/>
    <xf numFmtId="0" fontId="0" fillId="0" borderId="43" xfId="0" applyBorder="1"/>
    <xf numFmtId="0" fontId="0" fillId="0" borderId="31" xfId="0" applyNumberFormat="1" applyBorder="1"/>
    <xf numFmtId="0" fontId="0" fillId="0" borderId="34" xfId="0" applyBorder="1"/>
    <xf numFmtId="0" fontId="0" fillId="0" borderId="28" xfId="0" applyNumberFormat="1" applyBorder="1"/>
    <xf numFmtId="0" fontId="0" fillId="0" borderId="34" xfId="0" applyNumberFormat="1" applyBorder="1"/>
    <xf numFmtId="0" fontId="7" fillId="7" borderId="40" xfId="0" applyFont="1" applyFill="1" applyBorder="1" applyAlignment="1">
      <alignment horizontal="center"/>
    </xf>
    <xf numFmtId="0" fontId="0" fillId="0" borderId="40" xfId="0" applyNumberFormat="1" applyBorder="1"/>
    <xf numFmtId="0" fontId="0" fillId="0" borderId="43" xfId="0" applyNumberFormat="1" applyBorder="1"/>
    <xf numFmtId="0" fontId="7" fillId="7" borderId="11" xfId="0" applyFont="1" applyFill="1" applyBorder="1" applyAlignment="1">
      <alignment horizontal="center"/>
    </xf>
    <xf numFmtId="0" fontId="7" fillId="7" borderId="13" xfId="0" applyFont="1" applyFill="1" applyBorder="1" applyAlignment="1">
      <alignment horizontal="center"/>
    </xf>
    <xf numFmtId="0" fontId="0" fillId="0" borderId="44" xfId="0" applyBorder="1"/>
    <xf numFmtId="0" fontId="0" fillId="0" borderId="45" xfId="0" applyBorder="1"/>
    <xf numFmtId="0" fontId="0" fillId="0" borderId="2" xfId="0" applyNumberFormat="1" applyBorder="1"/>
    <xf numFmtId="0" fontId="0" fillId="0" borderId="3" xfId="0" applyNumberFormat="1" applyBorder="1"/>
    <xf numFmtId="0" fontId="0" fillId="0" borderId="4" xfId="0" applyNumberFormat="1" applyBorder="1"/>
    <xf numFmtId="0" fontId="0" fillId="0" borderId="6" xfId="0" applyNumberFormat="1" applyBorder="1"/>
    <xf numFmtId="0" fontId="0" fillId="0" borderId="35" xfId="0" applyBorder="1"/>
    <xf numFmtId="0" fontId="0" fillId="0" borderId="21" xfId="0" applyNumberFormat="1" applyBorder="1"/>
    <xf numFmtId="0" fontId="0" fillId="0" borderId="22" xfId="0" applyNumberFormat="1" applyBorder="1"/>
  </cellXfs>
  <cellStyles count="1">
    <cellStyle name="Normal" xfId="0" builtinId="0"/>
  </cellStyles>
  <dxfs count="20">
    <dxf>
      <numFmt numFmtId="0" formatCode="General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medium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</border>
    </dxf>
    <dxf>
      <numFmt numFmtId="0" formatCode="General"/>
      <border diagonalUp="0" diagonalDown="0">
        <left style="thin">
          <color indexed="64"/>
        </left>
        <right style="medium">
          <color indexed="64"/>
        </right>
        <top style="thin">
          <color auto="1"/>
        </top>
        <bottom style="thin">
          <color auto="1"/>
        </bottom>
      </border>
    </dxf>
    <dxf>
      <numFmt numFmtId="0" formatCode="General"/>
      <border diagonalUp="0" diagonalDown="0">
        <left style="medium">
          <color indexed="64"/>
        </left>
        <right style="thin">
          <color indexed="64"/>
        </right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relativeIndent="0" justifyLastLine="0" shrinkToFit="0" mergeCell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  <vertical/>
        <horizontal/>
      </border>
    </dxf>
    <dxf>
      <border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id="2" name="Tableau2" displayName="Tableau2" ref="A2:P14" totalsRowShown="0" headerRowDxfId="11" headerRowBorderDxfId="18" tableBorderDxfId="19" totalsRowBorderDxfId="17">
  <autoFilter ref="A2:P14">
    <filterColumn colId="5"/>
    <filterColumn colId="6"/>
    <filterColumn colId="7"/>
    <filterColumn colId="10"/>
    <filterColumn colId="11"/>
  </autoFilter>
  <tableColumns count="16">
    <tableColumn id="1" name="tool" dataDxfId="16"/>
    <tableColumn id="2" name="min" dataDxfId="15"/>
    <tableColumn id="3" name="max" dataDxfId="14"/>
    <tableColumn id="4" name="cost" dataDxfId="13"/>
    <tableColumn id="5" name="nb use" dataDxfId="12"/>
    <tableColumn id="18" name="max cost" dataDxfId="8">
      <calculatedColumnFormula>Tableau2[[#This Row],[cost]]*Tableau2[[#This Row],[nb use]]</calculatedColumnFormula>
    </tableColumn>
    <tableColumn id="17" name="min use" dataDxfId="10">
      <calculatedColumnFormula>Tableau2[[#This Row],[min]]*Tableau2[[#This Row],[nb use]]</calculatedColumnFormula>
    </tableColumn>
    <tableColumn id="16" name="max use" dataDxfId="9">
      <calculatedColumnFormula>Tableau2[[#This Row],[max]]*Tableau2[[#This Row],[nb use]]</calculatedColumnFormula>
    </tableColumn>
    <tableColumn id="7" name="min 12" dataDxfId="7">
      <calculatedColumnFormula>MIN(Tableau2[[#This Row],[nb use]],QUOTIENT($I$1,Tableau2[[#This Row],[cost]]))*Tableau2[[#This Row],[min]]</calculatedColumnFormula>
    </tableColumn>
    <tableColumn id="8" name="max 12" dataDxfId="6">
      <calculatedColumnFormula>MIN(Tableau2[[#This Row],[nb use]],QUOTIENT($I$1,Tableau2[[#This Row],[cost]]))*Tableau2[[#This Row],[max]]</calculatedColumnFormula>
    </tableColumn>
    <tableColumn id="15" name="min 10" dataDxfId="5">
      <calculatedColumnFormula>MIN(Tableau2[[#This Row],[nb use]],QUOTIENT($K$1,Tableau2[[#This Row],[cost]]))*Tableau2[[#This Row],[min]]</calculatedColumnFormula>
    </tableColumn>
    <tableColumn id="14" name="max 10" dataDxfId="4">
      <calculatedColumnFormula>MIN(Tableau2[[#This Row],[nb use]],QUOTIENT($K$1,Tableau2[[#This Row],[cost]]))*Tableau2[[#This Row],[max]]</calculatedColumnFormula>
    </tableColumn>
    <tableColumn id="9" name="min 9 " dataDxfId="3">
      <calculatedColumnFormula>MIN(Tableau2[[#This Row],[nb use]],QUOTIENT($M$1,Tableau2[[#This Row],[cost]]))*Tableau2[[#This Row],[min]]</calculatedColumnFormula>
    </tableColumn>
    <tableColumn id="10" name="max 9 " dataDxfId="2">
      <calculatedColumnFormula>MIN(Tableau2[[#This Row],[nb use]],QUOTIENT($M$1,Tableau2[[#This Row],[cost]]))*Tableau2[[#This Row],[max]]</calculatedColumnFormula>
    </tableColumn>
    <tableColumn id="11" name="min 7" dataDxfId="1">
      <calculatedColumnFormula>MIN(Tableau2[[#This Row],[nb use]],QUOTIENT($O$1,Tableau2[[#This Row],[cost]]))*Tableau2[[#This Row],[min]]</calculatedColumnFormula>
    </tableColumn>
    <tableColumn id="12" name="max 7" dataDxfId="0">
      <calculatedColumnFormula>MIN(Tableau2[[#This Row],[nb use]],QUOTIENT($O$1,Tableau2[[#This Row],[cost]]))*Tableau2[[#This Row],[max]]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workbookViewId="0">
      <selection activeCell="G22" sqref="G22"/>
    </sheetView>
  </sheetViews>
  <sheetFormatPr baseColWidth="10" defaultRowHeight="15"/>
  <cols>
    <col min="1" max="1" width="14" style="2" customWidth="1"/>
    <col min="2" max="3" width="12.5703125" style="2" customWidth="1"/>
    <col min="4" max="4" width="14.42578125" style="2" customWidth="1"/>
    <col min="5" max="5" width="25.5703125" style="2" customWidth="1"/>
    <col min="6" max="6" width="1.5703125" style="3" customWidth="1"/>
    <col min="7" max="7" width="41.7109375" style="1" customWidth="1"/>
  </cols>
  <sheetData>
    <row r="1" spans="1:7" s="7" customFormat="1" ht="89.25" customHeight="1">
      <c r="A1" s="5" t="s">
        <v>2</v>
      </c>
      <c r="B1" s="5" t="s">
        <v>56</v>
      </c>
      <c r="C1" s="5" t="s">
        <v>55</v>
      </c>
      <c r="D1" s="5" t="s">
        <v>57</v>
      </c>
      <c r="E1" s="5"/>
      <c r="F1" s="87"/>
      <c r="G1" s="6"/>
    </row>
    <row r="2" spans="1:7" s="9" customFormat="1">
      <c r="A2" s="94" t="s">
        <v>0</v>
      </c>
      <c r="B2" s="86" t="s">
        <v>0</v>
      </c>
      <c r="C2" s="77"/>
      <c r="D2" s="77"/>
      <c r="E2" s="77"/>
      <c r="F2" s="11"/>
      <c r="G2" s="8" t="s">
        <v>58</v>
      </c>
    </row>
    <row r="3" spans="1:7">
      <c r="A3" s="94"/>
      <c r="B3" s="94" t="s">
        <v>1</v>
      </c>
      <c r="C3" s="95" t="s">
        <v>0</v>
      </c>
      <c r="D3" s="95" t="s">
        <v>0</v>
      </c>
      <c r="E3" s="76"/>
      <c r="F3" s="11"/>
    </row>
    <row r="4" spans="1:7" s="9" customFormat="1">
      <c r="A4" s="94"/>
      <c r="B4" s="94"/>
      <c r="C4" s="98"/>
      <c r="D4" s="97"/>
      <c r="E4" s="76"/>
      <c r="F4" s="11"/>
      <c r="G4" s="8"/>
    </row>
    <row r="5" spans="1:7">
      <c r="A5" s="94"/>
      <c r="B5" s="94"/>
      <c r="C5" s="99"/>
      <c r="D5" s="76" t="s">
        <v>1</v>
      </c>
      <c r="E5" s="76"/>
      <c r="F5" s="4"/>
    </row>
    <row r="6" spans="1:7" s="9" customFormat="1">
      <c r="A6" s="94"/>
      <c r="B6" s="94"/>
      <c r="C6" s="95" t="s">
        <v>1</v>
      </c>
      <c r="D6" s="77"/>
      <c r="E6" s="77"/>
      <c r="F6" s="11"/>
      <c r="G6" s="8"/>
    </row>
    <row r="7" spans="1:7">
      <c r="A7" s="94"/>
      <c r="B7" s="94"/>
      <c r="C7" s="97"/>
      <c r="D7" s="77"/>
      <c r="E7" s="77"/>
      <c r="F7" s="11"/>
    </row>
    <row r="8" spans="1:7" s="9" customFormat="1">
      <c r="A8" s="94" t="s">
        <v>1</v>
      </c>
      <c r="B8" s="10"/>
      <c r="C8" s="95" t="s">
        <v>0</v>
      </c>
      <c r="D8" s="94" t="s">
        <v>0</v>
      </c>
      <c r="E8" s="76"/>
      <c r="F8" s="11"/>
      <c r="G8" s="8"/>
    </row>
    <row r="9" spans="1:7">
      <c r="A9" s="94"/>
      <c r="B9" s="10"/>
      <c r="C9" s="96"/>
      <c r="D9" s="94"/>
      <c r="E9" s="76"/>
      <c r="F9" s="4"/>
    </row>
    <row r="10" spans="1:7" s="9" customFormat="1">
      <c r="A10" s="94"/>
      <c r="B10" s="10"/>
      <c r="C10" s="96"/>
      <c r="D10" s="95" t="s">
        <v>1</v>
      </c>
      <c r="E10" s="88"/>
      <c r="F10" s="4"/>
      <c r="G10" s="8"/>
    </row>
    <row r="11" spans="1:7">
      <c r="A11" s="94"/>
      <c r="B11" s="10"/>
      <c r="C11" s="96"/>
      <c r="D11" s="96"/>
      <c r="E11" s="89"/>
      <c r="F11" s="4"/>
    </row>
    <row r="12" spans="1:7" s="9" customFormat="1">
      <c r="A12" s="94"/>
      <c r="B12" s="10"/>
      <c r="C12" s="97"/>
      <c r="D12" s="97"/>
      <c r="E12" s="90"/>
      <c r="F12" s="4"/>
      <c r="G12" s="8"/>
    </row>
    <row r="13" spans="1:7">
      <c r="A13" s="94"/>
      <c r="B13" s="10"/>
      <c r="C13" s="95" t="s">
        <v>1</v>
      </c>
      <c r="D13" s="77"/>
      <c r="E13" s="77"/>
      <c r="F13" s="4"/>
    </row>
    <row r="14" spans="1:7" s="9" customFormat="1">
      <c r="A14" s="94"/>
      <c r="B14" s="10"/>
      <c r="C14" s="96"/>
      <c r="D14" s="77"/>
      <c r="E14" s="77"/>
      <c r="F14" s="4"/>
      <c r="G14" s="8"/>
    </row>
    <row r="15" spans="1:7">
      <c r="A15" s="94"/>
      <c r="B15" s="10"/>
      <c r="C15" s="96"/>
      <c r="D15" s="77"/>
      <c r="E15" s="77"/>
      <c r="F15" s="4"/>
    </row>
    <row r="16" spans="1:7" s="9" customFormat="1">
      <c r="A16" s="94"/>
      <c r="B16" s="10"/>
      <c r="C16" s="96"/>
      <c r="D16" s="77"/>
      <c r="E16" s="77"/>
      <c r="F16" s="4"/>
      <c r="G16" s="8"/>
    </row>
    <row r="17" spans="1:6">
      <c r="A17" s="94"/>
      <c r="B17" s="10"/>
      <c r="C17" s="97"/>
      <c r="D17" s="77"/>
      <c r="E17" s="77"/>
      <c r="F17" s="4"/>
    </row>
  </sheetData>
  <mergeCells count="10">
    <mergeCell ref="D8:D9"/>
    <mergeCell ref="D10:D12"/>
    <mergeCell ref="C3:C5"/>
    <mergeCell ref="C6:C7"/>
    <mergeCell ref="D3:D4"/>
    <mergeCell ref="A8:A17"/>
    <mergeCell ref="A2:A7"/>
    <mergeCell ref="B3:B7"/>
    <mergeCell ref="C8:C12"/>
    <mergeCell ref="C13:C17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7"/>
  <sheetViews>
    <sheetView workbookViewId="0">
      <selection activeCell="I5" sqref="I5"/>
    </sheetView>
  </sheetViews>
  <sheetFormatPr baseColWidth="10" defaultRowHeight="15"/>
  <cols>
    <col min="1" max="1" width="13.28515625" customWidth="1"/>
    <col min="2" max="2" width="17.28515625" customWidth="1"/>
    <col min="3" max="3" width="16.140625" customWidth="1"/>
    <col min="4" max="4" width="17.140625" customWidth="1"/>
    <col min="5" max="5" width="20" customWidth="1"/>
    <col min="6" max="6" width="19.85546875" customWidth="1"/>
    <col min="7" max="7" width="20.28515625" customWidth="1"/>
    <col min="8" max="8" width="19.85546875" customWidth="1"/>
    <col min="9" max="9" width="21.42578125" customWidth="1"/>
    <col min="10" max="10" width="12.28515625" customWidth="1"/>
  </cols>
  <sheetData>
    <row r="1" spans="1:10" ht="15.75" thickBot="1">
      <c r="A1" s="42" t="s">
        <v>37</v>
      </c>
      <c r="B1" s="40" t="s">
        <v>38</v>
      </c>
      <c r="C1" s="14" t="s">
        <v>39</v>
      </c>
      <c r="D1" s="15" t="s">
        <v>40</v>
      </c>
      <c r="E1" s="15" t="s">
        <v>41</v>
      </c>
      <c r="F1" s="15" t="s">
        <v>42</v>
      </c>
      <c r="G1" s="50" t="s">
        <v>43</v>
      </c>
      <c r="H1" s="84" t="s">
        <v>53</v>
      </c>
    </row>
    <row r="2" spans="1:10">
      <c r="A2" s="83" t="s">
        <v>4</v>
      </c>
      <c r="B2" s="60"/>
      <c r="C2" s="61"/>
      <c r="D2" s="61"/>
      <c r="E2" s="61"/>
      <c r="F2" s="61"/>
      <c r="G2" s="78"/>
      <c r="H2" s="92"/>
    </row>
    <row r="3" spans="1:10">
      <c r="A3" s="38" t="s">
        <v>33</v>
      </c>
      <c r="B3" s="62" t="s">
        <v>52</v>
      </c>
      <c r="C3" s="4"/>
      <c r="D3" s="4"/>
      <c r="E3" s="4"/>
      <c r="F3" s="4"/>
      <c r="G3" s="79"/>
      <c r="H3" s="39"/>
    </row>
    <row r="4" spans="1:10">
      <c r="A4" s="43" t="s">
        <v>3</v>
      </c>
      <c r="B4" s="62"/>
      <c r="C4" s="4"/>
      <c r="D4" s="4"/>
      <c r="E4" s="41"/>
      <c r="F4" s="4"/>
      <c r="G4" s="79"/>
      <c r="H4" s="93"/>
    </row>
    <row r="5" spans="1:10">
      <c r="A5" s="38" t="s">
        <v>30</v>
      </c>
      <c r="B5" s="63"/>
      <c r="C5" s="4"/>
      <c r="D5" s="4"/>
      <c r="E5" s="41"/>
      <c r="F5" s="4"/>
      <c r="G5" s="80"/>
      <c r="H5" s="39"/>
    </row>
    <row r="6" spans="1:10">
      <c r="A6" s="57" t="s">
        <v>31</v>
      </c>
      <c r="B6" s="64"/>
      <c r="C6" s="58"/>
      <c r="D6" s="59"/>
      <c r="E6" s="59"/>
      <c r="F6" s="59"/>
      <c r="G6" s="81"/>
      <c r="H6" s="12"/>
    </row>
    <row r="7" spans="1:10" ht="15.75" thickBot="1">
      <c r="A7" s="70" t="s">
        <v>34</v>
      </c>
      <c r="B7" s="65"/>
      <c r="C7" s="13"/>
      <c r="D7" s="13"/>
      <c r="E7" s="13"/>
      <c r="F7" s="13"/>
      <c r="G7" s="82"/>
      <c r="H7" s="85"/>
    </row>
    <row r="8" spans="1:10" ht="15.75" thickBot="1"/>
    <row r="9" spans="1:10" ht="15.75" thickBot="1">
      <c r="A9" s="42" t="s">
        <v>37</v>
      </c>
      <c r="B9" s="40" t="s">
        <v>44</v>
      </c>
      <c r="C9" s="14" t="s">
        <v>45</v>
      </c>
      <c r="D9" s="14" t="s">
        <v>46</v>
      </c>
      <c r="E9" s="14" t="s">
        <v>47</v>
      </c>
      <c r="F9" s="14" t="s">
        <v>48</v>
      </c>
      <c r="G9" s="14" t="s">
        <v>49</v>
      </c>
      <c r="H9" s="50" t="s">
        <v>50</v>
      </c>
      <c r="I9" s="14" t="s">
        <v>51</v>
      </c>
      <c r="J9" s="51" t="s">
        <v>36</v>
      </c>
    </row>
    <row r="10" spans="1:10">
      <c r="A10" s="69" t="s">
        <v>4</v>
      </c>
      <c r="B10" s="54">
        <v>1</v>
      </c>
      <c r="C10" s="53">
        <v>2</v>
      </c>
      <c r="D10" s="53" t="s">
        <v>32</v>
      </c>
      <c r="E10" s="53">
        <v>1</v>
      </c>
      <c r="F10" s="53" t="s">
        <v>32</v>
      </c>
      <c r="G10" s="53">
        <v>1</v>
      </c>
      <c r="H10" s="55">
        <v>1</v>
      </c>
      <c r="I10" s="53" t="s">
        <v>32</v>
      </c>
      <c r="J10" s="74">
        <v>1</v>
      </c>
    </row>
    <row r="11" spans="1:10">
      <c r="A11" s="38" t="s">
        <v>33</v>
      </c>
      <c r="B11" s="56">
        <v>1</v>
      </c>
      <c r="C11" s="45">
        <v>3</v>
      </c>
      <c r="D11" s="46"/>
      <c r="E11" s="46"/>
      <c r="F11" s="46"/>
      <c r="G11" s="45">
        <v>2</v>
      </c>
      <c r="H11" s="52">
        <v>1</v>
      </c>
      <c r="I11" s="44" t="s">
        <v>32</v>
      </c>
      <c r="J11" s="47">
        <v>2</v>
      </c>
    </row>
    <row r="12" spans="1:10">
      <c r="A12" s="43" t="s">
        <v>3</v>
      </c>
      <c r="B12" s="56">
        <v>2</v>
      </c>
      <c r="C12" s="45">
        <v>4</v>
      </c>
      <c r="D12" s="46"/>
      <c r="E12" s="45">
        <v>2</v>
      </c>
      <c r="F12" s="46"/>
      <c r="G12" s="45">
        <v>4</v>
      </c>
      <c r="H12" s="52">
        <v>1</v>
      </c>
      <c r="I12" s="44" t="s">
        <v>32</v>
      </c>
      <c r="J12" s="47">
        <v>1</v>
      </c>
    </row>
    <row r="13" spans="1:10">
      <c r="A13" s="38" t="s">
        <v>30</v>
      </c>
      <c r="B13" s="56">
        <v>2</v>
      </c>
      <c r="C13" s="45">
        <v>3</v>
      </c>
      <c r="D13" s="46"/>
      <c r="E13" s="45">
        <v>2</v>
      </c>
      <c r="F13" s="46"/>
      <c r="G13" s="46"/>
      <c r="H13" s="52">
        <v>1</v>
      </c>
      <c r="I13" s="44" t="s">
        <v>32</v>
      </c>
      <c r="J13" s="47">
        <v>1</v>
      </c>
    </row>
    <row r="14" spans="1:10">
      <c r="A14" s="57" t="s">
        <v>31</v>
      </c>
      <c r="B14" s="71" t="s">
        <v>32</v>
      </c>
      <c r="C14" s="66">
        <v>4</v>
      </c>
      <c r="D14" s="67"/>
      <c r="E14" s="67"/>
      <c r="F14" s="67"/>
      <c r="G14" s="67"/>
      <c r="H14" s="68">
        <v>3</v>
      </c>
      <c r="I14" s="45">
        <v>4</v>
      </c>
      <c r="J14" s="75">
        <v>1</v>
      </c>
    </row>
    <row r="15" spans="1:10" ht="15.75" thickBot="1">
      <c r="A15" s="70" t="s">
        <v>34</v>
      </c>
      <c r="B15" s="73" t="s">
        <v>32</v>
      </c>
      <c r="C15" s="48" t="s">
        <v>35</v>
      </c>
      <c r="D15" s="48" t="s">
        <v>35</v>
      </c>
      <c r="E15" s="48" t="s">
        <v>35</v>
      </c>
      <c r="F15" s="48" t="s">
        <v>35</v>
      </c>
      <c r="G15" s="48">
        <v>1</v>
      </c>
      <c r="H15" s="48" t="s">
        <v>35</v>
      </c>
      <c r="I15" s="72" t="s">
        <v>32</v>
      </c>
      <c r="J15" s="49" t="s">
        <v>35</v>
      </c>
    </row>
    <row r="17" spans="1:1">
      <c r="A17" t="s">
        <v>54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"/>
  <sheetViews>
    <sheetView topLeftCell="C1" workbookViewId="0">
      <selection activeCell="A23" sqref="A23"/>
    </sheetView>
  </sheetViews>
  <sheetFormatPr baseColWidth="10" defaultRowHeight="15"/>
  <cols>
    <col min="1" max="1" width="41.5703125" customWidth="1"/>
    <col min="2" max="2" width="41.42578125" customWidth="1"/>
    <col min="3" max="3" width="37.28515625" customWidth="1"/>
    <col min="4" max="5" width="36.85546875" customWidth="1"/>
  </cols>
  <sheetData>
    <row r="1" spans="1:5" s="1" customFormat="1" ht="15.75" thickBot="1">
      <c r="A1" s="31" t="s">
        <v>5</v>
      </c>
      <c r="B1" s="32" t="s">
        <v>6</v>
      </c>
      <c r="C1" s="33" t="s">
        <v>7</v>
      </c>
      <c r="D1" s="33" t="s">
        <v>8</v>
      </c>
      <c r="E1" s="34" t="s">
        <v>9</v>
      </c>
    </row>
    <row r="2" spans="1:5" ht="18.75" customHeight="1">
      <c r="A2" s="100" t="s">
        <v>10</v>
      </c>
      <c r="B2" s="101"/>
      <c r="C2" s="101"/>
      <c r="D2" s="101"/>
      <c r="E2" s="102"/>
    </row>
    <row r="3" spans="1:5" ht="18.75" customHeight="1">
      <c r="A3" s="103" t="s">
        <v>11</v>
      </c>
      <c r="B3" s="104"/>
      <c r="C3" s="104"/>
      <c r="D3" s="104"/>
      <c r="E3" s="105"/>
    </row>
    <row r="4" spans="1:5" ht="18.75" customHeight="1">
      <c r="A4" s="24" t="s">
        <v>12</v>
      </c>
      <c r="B4" s="19" t="s">
        <v>13</v>
      </c>
      <c r="C4" s="19" t="s">
        <v>14</v>
      </c>
      <c r="D4" s="20" t="s">
        <v>15</v>
      </c>
      <c r="E4" s="25" t="s">
        <v>16</v>
      </c>
    </row>
    <row r="5" spans="1:5" ht="18.75" customHeight="1">
      <c r="A5" s="22" t="s">
        <v>17</v>
      </c>
      <c r="B5" s="18" t="s">
        <v>17</v>
      </c>
      <c r="C5" s="18" t="s">
        <v>17</v>
      </c>
      <c r="D5" s="18" t="s">
        <v>17</v>
      </c>
      <c r="E5" s="23"/>
    </row>
    <row r="6" spans="1:5" ht="18.75" customHeight="1">
      <c r="A6" s="26" t="s">
        <v>18</v>
      </c>
      <c r="B6" s="21" t="s">
        <v>18</v>
      </c>
      <c r="C6" s="18"/>
      <c r="D6" s="21"/>
      <c r="E6" s="27"/>
    </row>
    <row r="7" spans="1:5" ht="18.75" customHeight="1">
      <c r="A7" s="26" t="s">
        <v>19</v>
      </c>
      <c r="B7" s="21" t="s">
        <v>19</v>
      </c>
      <c r="C7" s="21"/>
      <c r="D7" s="21"/>
      <c r="E7" s="27"/>
    </row>
    <row r="8" spans="1:5" ht="18.75" customHeight="1">
      <c r="A8" s="26" t="s">
        <v>20</v>
      </c>
      <c r="B8" s="21"/>
      <c r="C8" s="21"/>
      <c r="D8" s="18"/>
      <c r="E8" s="27"/>
    </row>
    <row r="9" spans="1:5" ht="18.75" customHeight="1">
      <c r="A9" s="26" t="s">
        <v>21</v>
      </c>
      <c r="B9" s="21" t="s">
        <v>21</v>
      </c>
      <c r="C9" s="21" t="s">
        <v>22</v>
      </c>
      <c r="D9" s="18"/>
      <c r="E9" s="27" t="s">
        <v>22</v>
      </c>
    </row>
    <row r="10" spans="1:5" ht="18.75" customHeight="1" thickBot="1">
      <c r="A10" s="28" t="s">
        <v>23</v>
      </c>
      <c r="B10" s="29" t="s">
        <v>23</v>
      </c>
      <c r="C10" s="29"/>
      <c r="D10" s="29"/>
      <c r="E10" s="30"/>
    </row>
    <row r="11" spans="1:5" ht="18.75" customHeight="1">
      <c r="A11" s="17"/>
      <c r="B11" s="17"/>
      <c r="C11" s="17"/>
      <c r="D11" s="16"/>
      <c r="E11" s="17"/>
    </row>
    <row r="12" spans="1:5" ht="18.75" customHeight="1" thickBot="1">
      <c r="A12" s="17"/>
      <c r="B12" s="17"/>
      <c r="C12" s="16"/>
      <c r="D12" s="16"/>
      <c r="E12" s="17"/>
    </row>
    <row r="13" spans="1:5" ht="18.75" customHeight="1">
      <c r="A13" s="35" t="s">
        <v>24</v>
      </c>
      <c r="B13" s="36" t="s">
        <v>24</v>
      </c>
      <c r="C13" s="36" t="s">
        <v>25</v>
      </c>
      <c r="D13" s="36"/>
      <c r="E13" s="37" t="s">
        <v>25</v>
      </c>
    </row>
    <row r="14" spans="1:5" ht="18.75" customHeight="1">
      <c r="A14" s="26" t="s">
        <v>26</v>
      </c>
      <c r="B14" s="21" t="s">
        <v>26</v>
      </c>
      <c r="C14" s="21" t="s">
        <v>26</v>
      </c>
      <c r="D14" s="21" t="s">
        <v>26</v>
      </c>
      <c r="E14" s="27" t="s">
        <v>26</v>
      </c>
    </row>
    <row r="15" spans="1:5" ht="18.75" customHeight="1">
      <c r="A15" s="26" t="s">
        <v>27</v>
      </c>
      <c r="B15" s="21" t="s">
        <v>27</v>
      </c>
      <c r="C15" s="21"/>
      <c r="D15" s="21"/>
      <c r="E15" s="27"/>
    </row>
    <row r="16" spans="1:5" ht="18.75" customHeight="1" thickBot="1">
      <c r="A16" s="28" t="s">
        <v>28</v>
      </c>
      <c r="B16" s="29" t="s">
        <v>28</v>
      </c>
      <c r="C16" s="29"/>
      <c r="D16" s="29"/>
      <c r="E16" s="30"/>
    </row>
    <row r="20" spans="1:1">
      <c r="A20" t="s">
        <v>29</v>
      </c>
    </row>
  </sheetData>
  <mergeCells count="2">
    <mergeCell ref="A2:E2"/>
    <mergeCell ref="A3:E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14"/>
  <sheetViews>
    <sheetView tabSelected="1" workbookViewId="0">
      <selection activeCell="F8" sqref="F8"/>
    </sheetView>
  </sheetViews>
  <sheetFormatPr baseColWidth="10" defaultRowHeight="15"/>
  <cols>
    <col min="1" max="5" width="11.5703125" customWidth="1"/>
    <col min="6" max="6" width="10.7109375" customWidth="1"/>
    <col min="7" max="7" width="10.140625" customWidth="1"/>
    <col min="8" max="8" width="10.7109375" customWidth="1"/>
    <col min="9" max="16" width="9" customWidth="1"/>
  </cols>
  <sheetData>
    <row r="1" spans="1:16" ht="15.75" thickBot="1">
      <c r="G1" s="120" t="s">
        <v>73</v>
      </c>
      <c r="H1" s="121"/>
      <c r="I1" s="117">
        <v>12</v>
      </c>
      <c r="J1" s="107"/>
      <c r="K1" s="107">
        <v>10</v>
      </c>
      <c r="L1" s="107"/>
      <c r="M1" s="107">
        <v>9</v>
      </c>
      <c r="N1" s="107"/>
      <c r="O1" s="107">
        <v>7</v>
      </c>
      <c r="P1" s="107"/>
    </row>
    <row r="2" spans="1:16">
      <c r="A2" s="109" t="s">
        <v>63</v>
      </c>
      <c r="B2" s="91" t="s">
        <v>60</v>
      </c>
      <c r="C2" s="91" t="s">
        <v>61</v>
      </c>
      <c r="D2" s="91" t="s">
        <v>64</v>
      </c>
      <c r="E2" s="110" t="s">
        <v>62</v>
      </c>
      <c r="F2" s="128" t="s">
        <v>75</v>
      </c>
      <c r="G2" s="122" t="s">
        <v>74</v>
      </c>
      <c r="H2" s="123" t="s">
        <v>73</v>
      </c>
      <c r="I2" s="109" t="s">
        <v>65</v>
      </c>
      <c r="J2" s="91" t="s">
        <v>66</v>
      </c>
      <c r="K2" s="91" t="s">
        <v>67</v>
      </c>
      <c r="L2" s="91" t="s">
        <v>68</v>
      </c>
      <c r="M2" s="91" t="s">
        <v>69</v>
      </c>
      <c r="N2" s="91" t="s">
        <v>70</v>
      </c>
      <c r="O2" s="91" t="s">
        <v>72</v>
      </c>
      <c r="P2" s="110" t="s">
        <v>71</v>
      </c>
    </row>
    <row r="3" spans="1:16">
      <c r="A3" s="111" t="s">
        <v>59</v>
      </c>
      <c r="B3" s="106">
        <v>2</v>
      </c>
      <c r="C3" s="106">
        <v>34</v>
      </c>
      <c r="D3" s="106">
        <v>2</v>
      </c>
      <c r="E3" s="79">
        <v>1</v>
      </c>
      <c r="F3" s="129">
        <f>Tableau2[[#This Row],[cost]]*Tableau2[[#This Row],[nb use]]</f>
        <v>2</v>
      </c>
      <c r="G3" s="124">
        <f>Tableau2[[#This Row],[min]]*Tableau2[[#This Row],[nb use]]</f>
        <v>2</v>
      </c>
      <c r="H3" s="125">
        <f>Tableau2[[#This Row],[max]]*Tableau2[[#This Row],[nb use]]</f>
        <v>34</v>
      </c>
      <c r="I3" s="118">
        <f>MIN(Tableau2[[#This Row],[nb use]],QUOTIENT($I$1,Tableau2[[#This Row],[cost]]))*Tableau2[[#This Row],[min]]</f>
        <v>2</v>
      </c>
      <c r="J3" s="118">
        <f>MIN(Tableau2[[#This Row],[nb use]],QUOTIENT($I$1,Tableau2[[#This Row],[cost]]))*Tableau2[[#This Row],[max]]</f>
        <v>34</v>
      </c>
      <c r="K3" s="118">
        <f>MIN(Tableau2[[#This Row],[nb use]],QUOTIENT($K$1,Tableau2[[#This Row],[cost]]))*Tableau2[[#This Row],[min]]</f>
        <v>2</v>
      </c>
      <c r="L3" s="108">
        <f>MIN(Tableau2[[#This Row],[nb use]],QUOTIENT($K$1,Tableau2[[#This Row],[cost]]))*Tableau2[[#This Row],[max]]</f>
        <v>34</v>
      </c>
      <c r="M3" s="108">
        <f>MIN(Tableau2[[#This Row],[nb use]],QUOTIENT($M$1,Tableau2[[#This Row],[cost]]))*Tableau2[[#This Row],[min]]</f>
        <v>2</v>
      </c>
      <c r="N3" s="108">
        <f>MIN(Tableau2[[#This Row],[nb use]],QUOTIENT($M$1,Tableau2[[#This Row],[cost]]))*Tableau2[[#This Row],[max]]</f>
        <v>34</v>
      </c>
      <c r="O3" s="108">
        <f>MIN(Tableau2[[#This Row],[nb use]],QUOTIENT($O$1,Tableau2[[#This Row],[cost]]))*Tableau2[[#This Row],[min]]</f>
        <v>2</v>
      </c>
      <c r="P3" s="115">
        <f>MIN(Tableau2[[#This Row],[nb use]],QUOTIENT($O$1,Tableau2[[#This Row],[cost]]))*Tableau2[[#This Row],[max]]</f>
        <v>34</v>
      </c>
    </row>
    <row r="4" spans="1:16">
      <c r="A4" s="111" t="s">
        <v>76</v>
      </c>
      <c r="B4" s="106">
        <v>17</v>
      </c>
      <c r="C4" s="106">
        <v>19</v>
      </c>
      <c r="D4" s="106">
        <v>4</v>
      </c>
      <c r="E4" s="79">
        <v>3</v>
      </c>
      <c r="F4" s="129">
        <f>Tableau2[[#This Row],[cost]]*Tableau2[[#This Row],[nb use]]</f>
        <v>12</v>
      </c>
      <c r="G4" s="124">
        <f>Tableau2[[#This Row],[min]]*Tableau2[[#This Row],[nb use]]</f>
        <v>51</v>
      </c>
      <c r="H4" s="125">
        <f>Tableau2[[#This Row],[max]]*Tableau2[[#This Row],[nb use]]</f>
        <v>57</v>
      </c>
      <c r="I4" s="118">
        <f>MIN(Tableau2[[#This Row],[nb use]],QUOTIENT($I$1,Tableau2[[#This Row],[cost]]))*Tableau2[[#This Row],[min]]</f>
        <v>51</v>
      </c>
      <c r="J4" s="108">
        <f>MIN(Tableau2[[#This Row],[nb use]],QUOTIENT($I$1,Tableau2[[#This Row],[cost]]))*Tableau2[[#This Row],[max]]</f>
        <v>57</v>
      </c>
      <c r="K4" s="108">
        <f>MIN(Tableau2[[#This Row],[nb use]],QUOTIENT($K$1,Tableau2[[#This Row],[cost]]))*Tableau2[[#This Row],[min]]</f>
        <v>34</v>
      </c>
      <c r="L4" s="108">
        <f>MIN(Tableau2[[#This Row],[nb use]],QUOTIENT($K$1,Tableau2[[#This Row],[cost]]))*Tableau2[[#This Row],[max]]</f>
        <v>38</v>
      </c>
      <c r="M4" s="108">
        <f>MIN(Tableau2[[#This Row],[nb use]],QUOTIENT($M$1,Tableau2[[#This Row],[cost]]))*Tableau2[[#This Row],[min]]</f>
        <v>34</v>
      </c>
      <c r="N4" s="108">
        <f>MIN(Tableau2[[#This Row],[nb use]],QUOTIENT($M$1,Tableau2[[#This Row],[cost]]))*Tableau2[[#This Row],[max]]</f>
        <v>38</v>
      </c>
      <c r="O4" s="108">
        <f>MIN(Tableau2[[#This Row],[nb use]],QUOTIENT($O$1,Tableau2[[#This Row],[cost]]))*Tableau2[[#This Row],[min]]</f>
        <v>17</v>
      </c>
      <c r="P4" s="115">
        <f>MIN(Tableau2[[#This Row],[nb use]],QUOTIENT($O$1,Tableau2[[#This Row],[cost]]))*Tableau2[[#This Row],[max]]</f>
        <v>19</v>
      </c>
    </row>
    <row r="5" spans="1:16">
      <c r="A5" s="111" t="s">
        <v>77</v>
      </c>
      <c r="B5" s="106">
        <v>38</v>
      </c>
      <c r="C5" s="106">
        <v>39</v>
      </c>
      <c r="D5" s="106">
        <v>5</v>
      </c>
      <c r="E5" s="79">
        <v>1</v>
      </c>
      <c r="F5" s="129">
        <f>Tableau2[[#This Row],[cost]]*Tableau2[[#This Row],[nb use]]</f>
        <v>5</v>
      </c>
      <c r="G5" s="124">
        <f>Tableau2[[#This Row],[min]]*Tableau2[[#This Row],[nb use]]</f>
        <v>38</v>
      </c>
      <c r="H5" s="125">
        <f>Tableau2[[#This Row],[max]]*Tableau2[[#This Row],[nb use]]</f>
        <v>39</v>
      </c>
      <c r="I5" s="118">
        <f>MIN(Tableau2[[#This Row],[nb use]],QUOTIENT($I$1,Tableau2[[#This Row],[cost]]))*Tableau2[[#This Row],[min]]</f>
        <v>38</v>
      </c>
      <c r="J5" s="108">
        <f>MIN(Tableau2[[#This Row],[nb use]],QUOTIENT($I$1,Tableau2[[#This Row],[cost]]))*Tableau2[[#This Row],[max]]</f>
        <v>39</v>
      </c>
      <c r="K5" s="108">
        <f>MIN(Tableau2[[#This Row],[nb use]],QUOTIENT($K$1,Tableau2[[#This Row],[cost]]))*Tableau2[[#This Row],[min]]</f>
        <v>38</v>
      </c>
      <c r="L5" s="108">
        <f>MIN(Tableau2[[#This Row],[nb use]],QUOTIENT($K$1,Tableau2[[#This Row],[cost]]))*Tableau2[[#This Row],[max]]</f>
        <v>39</v>
      </c>
      <c r="M5" s="108">
        <f>MIN(Tableau2[[#This Row],[nb use]],QUOTIENT($M$1,Tableau2[[#This Row],[cost]]))*Tableau2[[#This Row],[min]]</f>
        <v>38</v>
      </c>
      <c r="N5" s="108">
        <f>MIN(Tableau2[[#This Row],[nb use]],QUOTIENT($M$1,Tableau2[[#This Row],[cost]]))*Tableau2[[#This Row],[max]]</f>
        <v>39</v>
      </c>
      <c r="O5" s="108">
        <f>MIN(Tableau2[[#This Row],[nb use]],QUOTIENT($O$1,Tableau2[[#This Row],[cost]]))*Tableau2[[#This Row],[min]]</f>
        <v>38</v>
      </c>
      <c r="P5" s="115">
        <f>MIN(Tableau2[[#This Row],[nb use]],QUOTIENT($O$1,Tableau2[[#This Row],[cost]]))*Tableau2[[#This Row],[max]]</f>
        <v>39</v>
      </c>
    </row>
    <row r="6" spans="1:16">
      <c r="A6" s="111" t="s">
        <v>78</v>
      </c>
      <c r="B6" s="106">
        <v>8</v>
      </c>
      <c r="C6" s="106">
        <v>16</v>
      </c>
      <c r="D6" s="106">
        <v>3</v>
      </c>
      <c r="E6" s="79">
        <v>5</v>
      </c>
      <c r="F6" s="129">
        <f>Tableau2[[#This Row],[cost]]*Tableau2[[#This Row],[nb use]]</f>
        <v>15</v>
      </c>
      <c r="G6" s="124">
        <f>Tableau2[[#This Row],[min]]*Tableau2[[#This Row],[nb use]]</f>
        <v>40</v>
      </c>
      <c r="H6" s="125">
        <f>Tableau2[[#This Row],[max]]*Tableau2[[#This Row],[nb use]]</f>
        <v>80</v>
      </c>
      <c r="I6" s="118">
        <f>MIN(Tableau2[[#This Row],[nb use]],QUOTIENT($I$1,Tableau2[[#This Row],[cost]]))*Tableau2[[#This Row],[min]]</f>
        <v>32</v>
      </c>
      <c r="J6" s="108">
        <f>MIN(Tableau2[[#This Row],[nb use]],QUOTIENT($I$1,Tableau2[[#This Row],[cost]]))*Tableau2[[#This Row],[max]]</f>
        <v>64</v>
      </c>
      <c r="K6" s="108">
        <f>MIN(Tableau2[[#This Row],[nb use]],QUOTIENT($K$1,Tableau2[[#This Row],[cost]]))*Tableau2[[#This Row],[min]]</f>
        <v>24</v>
      </c>
      <c r="L6" s="108">
        <f>MIN(Tableau2[[#This Row],[nb use]],QUOTIENT($K$1,Tableau2[[#This Row],[cost]]))*Tableau2[[#This Row],[max]]</f>
        <v>48</v>
      </c>
      <c r="M6" s="108">
        <f>MIN(Tableau2[[#This Row],[nb use]],QUOTIENT($M$1,Tableau2[[#This Row],[cost]]))*Tableau2[[#This Row],[min]]</f>
        <v>24</v>
      </c>
      <c r="N6" s="108">
        <f>MIN(Tableau2[[#This Row],[nb use]],QUOTIENT($M$1,Tableau2[[#This Row],[cost]]))*Tableau2[[#This Row],[max]]</f>
        <v>48</v>
      </c>
      <c r="O6" s="108">
        <f>MIN(Tableau2[[#This Row],[nb use]],QUOTIENT($O$1,Tableau2[[#This Row],[cost]]))*Tableau2[[#This Row],[min]]</f>
        <v>16</v>
      </c>
      <c r="P6" s="115">
        <f>MIN(Tableau2[[#This Row],[nb use]],QUOTIENT($O$1,Tableau2[[#This Row],[cost]]))*Tableau2[[#This Row],[max]]</f>
        <v>32</v>
      </c>
    </row>
    <row r="7" spans="1:16">
      <c r="A7" s="111" t="s">
        <v>79</v>
      </c>
      <c r="B7" s="106">
        <v>33</v>
      </c>
      <c r="C7" s="106">
        <v>43</v>
      </c>
      <c r="D7" s="106">
        <v>5</v>
      </c>
      <c r="E7" s="79">
        <v>2</v>
      </c>
      <c r="F7" s="129">
        <f>Tableau2[[#This Row],[cost]]*Tableau2[[#This Row],[nb use]]</f>
        <v>10</v>
      </c>
      <c r="G7" s="124">
        <f>Tableau2[[#This Row],[min]]*Tableau2[[#This Row],[nb use]]</f>
        <v>66</v>
      </c>
      <c r="H7" s="125">
        <f>Tableau2[[#This Row],[max]]*Tableau2[[#This Row],[nb use]]</f>
        <v>86</v>
      </c>
      <c r="I7" s="118">
        <f>MIN(Tableau2[[#This Row],[nb use]],QUOTIENT($I$1,Tableau2[[#This Row],[cost]]))*Tableau2[[#This Row],[min]]</f>
        <v>66</v>
      </c>
      <c r="J7" s="108">
        <f>MIN(Tableau2[[#This Row],[nb use]],QUOTIENT($I$1,Tableau2[[#This Row],[cost]]))*Tableau2[[#This Row],[max]]</f>
        <v>86</v>
      </c>
      <c r="K7" s="108">
        <f>MIN(Tableau2[[#This Row],[nb use]],QUOTIENT($K$1,Tableau2[[#This Row],[cost]]))*Tableau2[[#This Row],[min]]</f>
        <v>66</v>
      </c>
      <c r="L7" s="108">
        <f>MIN(Tableau2[[#This Row],[nb use]],QUOTIENT($K$1,Tableau2[[#This Row],[cost]]))*Tableau2[[#This Row],[max]]</f>
        <v>86</v>
      </c>
      <c r="M7" s="108">
        <f>MIN(Tableau2[[#This Row],[nb use]],QUOTIENT($M$1,Tableau2[[#This Row],[cost]]))*Tableau2[[#This Row],[min]]</f>
        <v>33</v>
      </c>
      <c r="N7" s="108">
        <f>MIN(Tableau2[[#This Row],[nb use]],QUOTIENT($M$1,Tableau2[[#This Row],[cost]]))*Tableau2[[#This Row],[max]]</f>
        <v>43</v>
      </c>
      <c r="O7" s="108">
        <f>MIN(Tableau2[[#This Row],[nb use]],QUOTIENT($O$1,Tableau2[[#This Row],[cost]]))*Tableau2[[#This Row],[min]]</f>
        <v>33</v>
      </c>
      <c r="P7" s="115">
        <f>MIN(Tableau2[[#This Row],[nb use]],QUOTIENT($O$1,Tableau2[[#This Row],[cost]]))*Tableau2[[#This Row],[max]]</f>
        <v>43</v>
      </c>
    </row>
    <row r="8" spans="1:16">
      <c r="A8" s="111" t="s">
        <v>80</v>
      </c>
      <c r="B8" s="106">
        <v>25</v>
      </c>
      <c r="C8" s="106">
        <v>40</v>
      </c>
      <c r="D8" s="106">
        <v>5</v>
      </c>
      <c r="E8" s="79">
        <v>2</v>
      </c>
      <c r="F8" s="129">
        <f>Tableau2[[#This Row],[cost]]*Tableau2[[#This Row],[nb use]]</f>
        <v>10</v>
      </c>
      <c r="G8" s="124">
        <f>Tableau2[[#This Row],[min]]*Tableau2[[#This Row],[nb use]]</f>
        <v>50</v>
      </c>
      <c r="H8" s="125">
        <f>Tableau2[[#This Row],[max]]*Tableau2[[#This Row],[nb use]]</f>
        <v>80</v>
      </c>
      <c r="I8" s="118">
        <f>MIN(Tableau2[[#This Row],[nb use]],QUOTIENT($I$1,Tableau2[[#This Row],[cost]]))*Tableau2[[#This Row],[min]]</f>
        <v>50</v>
      </c>
      <c r="J8" s="108">
        <f>MIN(Tableau2[[#This Row],[nb use]],QUOTIENT($I$1,Tableau2[[#This Row],[cost]]))*Tableau2[[#This Row],[max]]</f>
        <v>80</v>
      </c>
      <c r="K8" s="108">
        <f>MIN(Tableau2[[#This Row],[nb use]],QUOTIENT($K$1,Tableau2[[#This Row],[cost]]))*Tableau2[[#This Row],[min]]</f>
        <v>50</v>
      </c>
      <c r="L8" s="108">
        <f>MIN(Tableau2[[#This Row],[nb use]],QUOTIENT($K$1,Tableau2[[#This Row],[cost]]))*Tableau2[[#This Row],[max]]</f>
        <v>80</v>
      </c>
      <c r="M8" s="108">
        <f>MIN(Tableau2[[#This Row],[nb use]],QUOTIENT($M$1,Tableau2[[#This Row],[cost]]))*Tableau2[[#This Row],[min]]</f>
        <v>25</v>
      </c>
      <c r="N8" s="108">
        <f>MIN(Tableau2[[#This Row],[nb use]],QUOTIENT($M$1,Tableau2[[#This Row],[cost]]))*Tableau2[[#This Row],[max]]</f>
        <v>40</v>
      </c>
      <c r="O8" s="108">
        <f>MIN(Tableau2[[#This Row],[nb use]],QUOTIENT($O$1,Tableau2[[#This Row],[cost]]))*Tableau2[[#This Row],[min]]</f>
        <v>25</v>
      </c>
      <c r="P8" s="115">
        <f>MIN(Tableau2[[#This Row],[nb use]],QUOTIENT($O$1,Tableau2[[#This Row],[cost]]))*Tableau2[[#This Row],[max]]</f>
        <v>40</v>
      </c>
    </row>
    <row r="9" spans="1:16">
      <c r="A9" s="111"/>
      <c r="B9" s="106"/>
      <c r="C9" s="106"/>
      <c r="D9" s="106"/>
      <c r="E9" s="79"/>
      <c r="F9" s="129">
        <f>Tableau2[[#This Row],[cost]]*Tableau2[[#This Row],[nb use]]</f>
        <v>0</v>
      </c>
      <c r="G9" s="124">
        <f>Tableau2[[#This Row],[min]]*Tableau2[[#This Row],[nb use]]</f>
        <v>0</v>
      </c>
      <c r="H9" s="125">
        <f>Tableau2[[#This Row],[max]]*Tableau2[[#This Row],[nb use]]</f>
        <v>0</v>
      </c>
      <c r="I9" s="118" t="e">
        <f>MIN(Tableau2[[#This Row],[nb use]],QUOTIENT($I$1,Tableau2[[#This Row],[cost]]))*Tableau2[[#This Row],[min]]</f>
        <v>#DIV/0!</v>
      </c>
      <c r="J9" s="108" t="e">
        <f>MIN(Tableau2[[#This Row],[nb use]],QUOTIENT($I$1,Tableau2[[#This Row],[cost]]))*Tableau2[[#This Row],[max]]</f>
        <v>#DIV/0!</v>
      </c>
      <c r="K9" s="108" t="e">
        <f>MIN(Tableau2[[#This Row],[nb use]],QUOTIENT($K$1,Tableau2[[#This Row],[cost]]))*Tableau2[[#This Row],[min]]</f>
        <v>#DIV/0!</v>
      </c>
      <c r="L9" s="108" t="e">
        <f>MIN(Tableau2[[#This Row],[nb use]],QUOTIENT($K$1,Tableau2[[#This Row],[cost]]))*Tableau2[[#This Row],[max]]</f>
        <v>#DIV/0!</v>
      </c>
      <c r="M9" s="108" t="e">
        <f>MIN(Tableau2[[#This Row],[nb use]],QUOTIENT($M$1,Tableau2[[#This Row],[cost]]))*Tableau2[[#This Row],[min]]</f>
        <v>#DIV/0!</v>
      </c>
      <c r="N9" s="108" t="e">
        <f>MIN(Tableau2[[#This Row],[nb use]],QUOTIENT($M$1,Tableau2[[#This Row],[cost]]))*Tableau2[[#This Row],[max]]</f>
        <v>#DIV/0!</v>
      </c>
      <c r="O9" s="108" t="e">
        <f>MIN(Tableau2[[#This Row],[nb use]],QUOTIENT($O$1,Tableau2[[#This Row],[cost]]))*Tableau2[[#This Row],[min]]</f>
        <v>#DIV/0!</v>
      </c>
      <c r="P9" s="115" t="e">
        <f>MIN(Tableau2[[#This Row],[nb use]],QUOTIENT($O$1,Tableau2[[#This Row],[cost]]))*Tableau2[[#This Row],[max]]</f>
        <v>#DIV/0!</v>
      </c>
    </row>
    <row r="10" spans="1:16">
      <c r="A10" s="111"/>
      <c r="B10" s="106"/>
      <c r="C10" s="106"/>
      <c r="D10" s="106"/>
      <c r="E10" s="79"/>
      <c r="F10" s="129">
        <f>Tableau2[[#This Row],[cost]]*Tableau2[[#This Row],[nb use]]</f>
        <v>0</v>
      </c>
      <c r="G10" s="124">
        <f>Tableau2[[#This Row],[min]]*Tableau2[[#This Row],[nb use]]</f>
        <v>0</v>
      </c>
      <c r="H10" s="125">
        <f>Tableau2[[#This Row],[max]]*Tableau2[[#This Row],[nb use]]</f>
        <v>0</v>
      </c>
      <c r="I10" s="118" t="e">
        <f>MIN(Tableau2[[#This Row],[nb use]],QUOTIENT($I$1,Tableau2[[#This Row],[cost]]))*Tableau2[[#This Row],[min]]</f>
        <v>#DIV/0!</v>
      </c>
      <c r="J10" s="108" t="e">
        <f>MIN(Tableau2[[#This Row],[nb use]],QUOTIENT($I$1,Tableau2[[#This Row],[cost]]))*Tableau2[[#This Row],[max]]</f>
        <v>#DIV/0!</v>
      </c>
      <c r="K10" s="108" t="e">
        <f>MIN(Tableau2[[#This Row],[nb use]],QUOTIENT($K$1,Tableau2[[#This Row],[cost]]))*Tableau2[[#This Row],[min]]</f>
        <v>#DIV/0!</v>
      </c>
      <c r="L10" s="108" t="e">
        <f>MIN(Tableau2[[#This Row],[nb use]],QUOTIENT($K$1,Tableau2[[#This Row],[cost]]))*Tableau2[[#This Row],[max]]</f>
        <v>#DIV/0!</v>
      </c>
      <c r="M10" s="108" t="e">
        <f>MIN(Tableau2[[#This Row],[nb use]],QUOTIENT($M$1,Tableau2[[#This Row],[cost]]))*Tableau2[[#This Row],[min]]</f>
        <v>#DIV/0!</v>
      </c>
      <c r="N10" s="108" t="e">
        <f>MIN(Tableau2[[#This Row],[nb use]],QUOTIENT($M$1,Tableau2[[#This Row],[cost]]))*Tableau2[[#This Row],[max]]</f>
        <v>#DIV/0!</v>
      </c>
      <c r="O10" s="108" t="e">
        <f>MIN(Tableau2[[#This Row],[nb use]],QUOTIENT($O$1,Tableau2[[#This Row],[cost]]))*Tableau2[[#This Row],[min]]</f>
        <v>#DIV/0!</v>
      </c>
      <c r="P10" s="115" t="e">
        <f>MIN(Tableau2[[#This Row],[nb use]],QUOTIENT($O$1,Tableau2[[#This Row],[cost]]))*Tableau2[[#This Row],[max]]</f>
        <v>#DIV/0!</v>
      </c>
    </row>
    <row r="11" spans="1:16">
      <c r="A11" s="111"/>
      <c r="B11" s="106"/>
      <c r="C11" s="106"/>
      <c r="D11" s="106"/>
      <c r="E11" s="79"/>
      <c r="F11" s="129">
        <f>Tableau2[[#This Row],[cost]]*Tableau2[[#This Row],[nb use]]</f>
        <v>0</v>
      </c>
      <c r="G11" s="124">
        <f>Tableau2[[#This Row],[min]]*Tableau2[[#This Row],[nb use]]</f>
        <v>0</v>
      </c>
      <c r="H11" s="125">
        <f>Tableau2[[#This Row],[max]]*Tableau2[[#This Row],[nb use]]</f>
        <v>0</v>
      </c>
      <c r="I11" s="118" t="e">
        <f>MIN(Tableau2[[#This Row],[nb use]],QUOTIENT($I$1,Tableau2[[#This Row],[cost]]))*Tableau2[[#This Row],[min]]</f>
        <v>#DIV/0!</v>
      </c>
      <c r="J11" s="108" t="e">
        <f>MIN(Tableau2[[#This Row],[nb use]],QUOTIENT($I$1,Tableau2[[#This Row],[cost]]))*Tableau2[[#This Row],[max]]</f>
        <v>#DIV/0!</v>
      </c>
      <c r="K11" s="108" t="e">
        <f>MIN(Tableau2[[#This Row],[nb use]],QUOTIENT($K$1,Tableau2[[#This Row],[cost]]))*Tableau2[[#This Row],[min]]</f>
        <v>#DIV/0!</v>
      </c>
      <c r="L11" s="108" t="e">
        <f>MIN(Tableau2[[#This Row],[nb use]],QUOTIENT($K$1,Tableau2[[#This Row],[cost]]))*Tableau2[[#This Row],[max]]</f>
        <v>#DIV/0!</v>
      </c>
      <c r="M11" s="108" t="e">
        <f>MIN(Tableau2[[#This Row],[nb use]],QUOTIENT($M$1,Tableau2[[#This Row],[cost]]))*Tableau2[[#This Row],[min]]</f>
        <v>#DIV/0!</v>
      </c>
      <c r="N11" s="108" t="e">
        <f>MIN(Tableau2[[#This Row],[nb use]],QUOTIENT($M$1,Tableau2[[#This Row],[cost]]))*Tableau2[[#This Row],[max]]</f>
        <v>#DIV/0!</v>
      </c>
      <c r="O11" s="108" t="e">
        <f>MIN(Tableau2[[#This Row],[nb use]],QUOTIENT($O$1,Tableau2[[#This Row],[cost]]))*Tableau2[[#This Row],[min]]</f>
        <v>#DIV/0!</v>
      </c>
      <c r="P11" s="115" t="e">
        <f>MIN(Tableau2[[#This Row],[nb use]],QUOTIENT($O$1,Tableau2[[#This Row],[cost]]))*Tableau2[[#This Row],[max]]</f>
        <v>#DIV/0!</v>
      </c>
    </row>
    <row r="12" spans="1:16">
      <c r="A12" s="111"/>
      <c r="B12" s="106"/>
      <c r="C12" s="106"/>
      <c r="D12" s="106"/>
      <c r="E12" s="79"/>
      <c r="F12" s="129">
        <f>Tableau2[[#This Row],[cost]]*Tableau2[[#This Row],[nb use]]</f>
        <v>0</v>
      </c>
      <c r="G12" s="124">
        <f>Tableau2[[#This Row],[min]]*Tableau2[[#This Row],[nb use]]</f>
        <v>0</v>
      </c>
      <c r="H12" s="125">
        <f>Tableau2[[#This Row],[max]]*Tableau2[[#This Row],[nb use]]</f>
        <v>0</v>
      </c>
      <c r="I12" s="118" t="e">
        <f>MIN(Tableau2[[#This Row],[nb use]],QUOTIENT($I$1,Tableau2[[#This Row],[cost]]))*Tableau2[[#This Row],[min]]</f>
        <v>#DIV/0!</v>
      </c>
      <c r="J12" s="108" t="e">
        <f>MIN(Tableau2[[#This Row],[nb use]],QUOTIENT($I$1,Tableau2[[#This Row],[cost]]))*Tableau2[[#This Row],[max]]</f>
        <v>#DIV/0!</v>
      </c>
      <c r="K12" s="108" t="e">
        <f>MIN(Tableau2[[#This Row],[nb use]],QUOTIENT($K$1,Tableau2[[#This Row],[cost]]))*Tableau2[[#This Row],[min]]</f>
        <v>#DIV/0!</v>
      </c>
      <c r="L12" s="108" t="e">
        <f>MIN(Tableau2[[#This Row],[nb use]],QUOTIENT($K$1,Tableau2[[#This Row],[cost]]))*Tableau2[[#This Row],[max]]</f>
        <v>#DIV/0!</v>
      </c>
      <c r="M12" s="108" t="e">
        <f>MIN(Tableau2[[#This Row],[nb use]],QUOTIENT($M$1,Tableau2[[#This Row],[cost]]))*Tableau2[[#This Row],[min]]</f>
        <v>#DIV/0!</v>
      </c>
      <c r="N12" s="108" t="e">
        <f>MIN(Tableau2[[#This Row],[nb use]],QUOTIENT($M$1,Tableau2[[#This Row],[cost]]))*Tableau2[[#This Row],[max]]</f>
        <v>#DIV/0!</v>
      </c>
      <c r="O12" s="108" t="e">
        <f>MIN(Tableau2[[#This Row],[nb use]],QUOTIENT($O$1,Tableau2[[#This Row],[cost]]))*Tableau2[[#This Row],[min]]</f>
        <v>#DIV/0!</v>
      </c>
      <c r="P12" s="115" t="e">
        <f>MIN(Tableau2[[#This Row],[nb use]],QUOTIENT($O$1,Tableau2[[#This Row],[cost]]))*Tableau2[[#This Row],[max]]</f>
        <v>#DIV/0!</v>
      </c>
    </row>
    <row r="13" spans="1:16">
      <c r="A13" s="111"/>
      <c r="B13" s="106"/>
      <c r="C13" s="106"/>
      <c r="D13" s="106"/>
      <c r="E13" s="79"/>
      <c r="F13" s="129">
        <f>Tableau2[[#This Row],[cost]]*Tableau2[[#This Row],[nb use]]</f>
        <v>0</v>
      </c>
      <c r="G13" s="124">
        <f>Tableau2[[#This Row],[min]]*Tableau2[[#This Row],[nb use]]</f>
        <v>0</v>
      </c>
      <c r="H13" s="125">
        <f>Tableau2[[#This Row],[max]]*Tableau2[[#This Row],[nb use]]</f>
        <v>0</v>
      </c>
      <c r="I13" s="118" t="e">
        <f>MIN(Tableau2[[#This Row],[nb use]],QUOTIENT($I$1,Tableau2[[#This Row],[cost]]))*Tableau2[[#This Row],[min]]</f>
        <v>#DIV/0!</v>
      </c>
      <c r="J13" s="108" t="e">
        <f>MIN(Tableau2[[#This Row],[nb use]],QUOTIENT($I$1,Tableau2[[#This Row],[cost]]))*Tableau2[[#This Row],[max]]</f>
        <v>#DIV/0!</v>
      </c>
      <c r="K13" s="108" t="e">
        <f>MIN(Tableau2[[#This Row],[nb use]],QUOTIENT($K$1,Tableau2[[#This Row],[cost]]))*Tableau2[[#This Row],[min]]</f>
        <v>#DIV/0!</v>
      </c>
      <c r="L13" s="108" t="e">
        <f>MIN(Tableau2[[#This Row],[nb use]],QUOTIENT($K$1,Tableau2[[#This Row],[cost]]))*Tableau2[[#This Row],[max]]</f>
        <v>#DIV/0!</v>
      </c>
      <c r="M13" s="108" t="e">
        <f>MIN(Tableau2[[#This Row],[nb use]],QUOTIENT($M$1,Tableau2[[#This Row],[cost]]))*Tableau2[[#This Row],[min]]</f>
        <v>#DIV/0!</v>
      </c>
      <c r="N13" s="108" t="e">
        <f>MIN(Tableau2[[#This Row],[nb use]],QUOTIENT($M$1,Tableau2[[#This Row],[cost]]))*Tableau2[[#This Row],[max]]</f>
        <v>#DIV/0!</v>
      </c>
      <c r="O13" s="108" t="e">
        <f>MIN(Tableau2[[#This Row],[nb use]],QUOTIENT($O$1,Tableau2[[#This Row],[cost]]))*Tableau2[[#This Row],[min]]</f>
        <v>#DIV/0!</v>
      </c>
      <c r="P13" s="115" t="e">
        <f>MIN(Tableau2[[#This Row],[nb use]],QUOTIENT($O$1,Tableau2[[#This Row],[cost]]))*Tableau2[[#This Row],[max]]</f>
        <v>#DIV/0!</v>
      </c>
    </row>
    <row r="14" spans="1:16" ht="15.75" thickBot="1">
      <c r="A14" s="112"/>
      <c r="B14" s="58"/>
      <c r="C14" s="58"/>
      <c r="D14" s="58"/>
      <c r="E14" s="114"/>
      <c r="F14" s="130">
        <f>Tableau2[[#This Row],[cost]]*Tableau2[[#This Row],[nb use]]</f>
        <v>0</v>
      </c>
      <c r="G14" s="126">
        <f>Tableau2[[#This Row],[min]]*Tableau2[[#This Row],[nb use]]</f>
        <v>0</v>
      </c>
      <c r="H14" s="127">
        <f>Tableau2[[#This Row],[max]]*Tableau2[[#This Row],[nb use]]</f>
        <v>0</v>
      </c>
      <c r="I14" s="119" t="e">
        <f>MIN(Tableau2[[#This Row],[nb use]],QUOTIENT($I$1,Tableau2[[#This Row],[cost]]))*Tableau2[[#This Row],[min]]</f>
        <v>#DIV/0!</v>
      </c>
      <c r="J14" s="113" t="e">
        <f>MIN(Tableau2[[#This Row],[nb use]],QUOTIENT($I$1,Tableau2[[#This Row],[cost]]))*Tableau2[[#This Row],[max]]</f>
        <v>#DIV/0!</v>
      </c>
      <c r="K14" s="113" t="e">
        <f>MIN(Tableau2[[#This Row],[nb use]],QUOTIENT($K$1,Tableau2[[#This Row],[cost]]))*Tableau2[[#This Row],[min]]</f>
        <v>#DIV/0!</v>
      </c>
      <c r="L14" s="113" t="e">
        <f>MIN(Tableau2[[#This Row],[nb use]],QUOTIENT($K$1,Tableau2[[#This Row],[cost]]))*Tableau2[[#This Row],[max]]</f>
        <v>#DIV/0!</v>
      </c>
      <c r="M14" s="113" t="e">
        <f>MIN(Tableau2[[#This Row],[nb use]],QUOTIENT($M$1,Tableau2[[#This Row],[cost]]))*Tableau2[[#This Row],[min]]</f>
        <v>#DIV/0!</v>
      </c>
      <c r="N14" s="113" t="e">
        <f>MIN(Tableau2[[#This Row],[nb use]],QUOTIENT($M$1,Tableau2[[#This Row],[cost]]))*Tableau2[[#This Row],[max]]</f>
        <v>#DIV/0!</v>
      </c>
      <c r="O14" s="113" t="e">
        <f>MIN(Tableau2[[#This Row],[nb use]],QUOTIENT($O$1,Tableau2[[#This Row],[cost]]))*Tableau2[[#This Row],[min]]</f>
        <v>#DIV/0!</v>
      </c>
      <c r="P14" s="116" t="e">
        <f>MIN(Tableau2[[#This Row],[nb use]],QUOTIENT($O$1,Tableau2[[#This Row],[cost]]))*Tableau2[[#This Row],[max]]</f>
        <v>#DIV/0!</v>
      </c>
    </row>
  </sheetData>
  <mergeCells count="5">
    <mergeCell ref="K1:L1"/>
    <mergeCell ref="G1:H1"/>
    <mergeCell ref="I1:J1"/>
    <mergeCell ref="M1:N1"/>
    <mergeCell ref="O1:P1"/>
  </mergeCells>
  <pageMargins left="0.7" right="0.7" top="0.75" bottom="0.75" header="0.3" footer="0.3"/>
  <pageSetup paperSize="9"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strategie</vt:lpstr>
      <vt:lpstr>comparaison liste</vt:lpstr>
      <vt:lpstr>calcul dmg</vt:lpstr>
      <vt:lpstr>calcul chip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Vallebella</dc:creator>
  <cp:lastModifiedBy>Christian Vallebella</cp:lastModifiedBy>
  <dcterms:created xsi:type="dcterms:W3CDTF">2016-08-31T22:47:04Z</dcterms:created>
  <dcterms:modified xsi:type="dcterms:W3CDTF">2026-06-09T14:08:02Z</dcterms:modified>
</cp:coreProperties>
</file>